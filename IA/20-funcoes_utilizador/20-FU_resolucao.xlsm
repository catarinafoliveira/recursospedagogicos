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Catarina\Dropbox\Aulas\Meu material\Materia\Excel\20-funcoes_utilizador\"/>
    </mc:Choice>
  </mc:AlternateContent>
  <xr:revisionPtr revIDLastSave="0" documentId="13_ncr:1_{3F0A64FB-E3DB-46A0-B08D-EBFE5CCEDAE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Exmp01" sheetId="1" r:id="rId1"/>
    <sheet name="Exmp02" sheetId="2" r:id="rId2"/>
    <sheet name="Ex0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" l="1" a="1"/>
  <c r="D12" i="2" a="1"/>
  <c r="D5" i="2" a="1"/>
  <c r="D13" i="2" a="1"/>
  <c r="D16" i="2" a="1"/>
  <c r="D6" i="2" a="1"/>
  <c r="D14" i="2" a="1"/>
  <c r="D4" i="2" a="1"/>
  <c r="D10" i="2" a="1"/>
  <c r="D7" i="2" a="1"/>
  <c r="D11" i="2" a="1"/>
  <c r="D15" i="2" a="1"/>
  <c r="D8" i="2" a="1"/>
  <c r="D3" i="2" a="1"/>
  <c r="A4" i="1" a="1"/>
  <c r="A1" i="1" a="1"/>
  <c r="D4" i="3" a="1"/>
  <c r="D8" i="3" a="1"/>
  <c r="D12" i="3" a="1"/>
  <c r="D5" i="3" a="1"/>
  <c r="D9" i="3" a="1"/>
  <c r="D10" i="3" a="1"/>
  <c r="D7" i="3" a="1"/>
  <c r="D11" i="3" a="1"/>
  <c r="D6" i="3" a="1"/>
  <c r="D3" i="3" a="1"/>
  <c r="C4" i="3" a="1"/>
  <c r="C8" i="3" a="1"/>
  <c r="C12" i="3" a="1"/>
  <c r="C5" i="3" a="1"/>
  <c r="C6" i="3" a="1"/>
  <c r="C10" i="3" a="1"/>
  <c r="C7" i="3" a="1"/>
  <c r="C11" i="3" a="1"/>
  <c r="C9" i="3" a="1"/>
  <c r="C3" i="3" a="1"/>
  <c r="D6" i="3" l="1"/>
  <c r="D11" i="3"/>
  <c r="D7" i="3"/>
  <c r="D10" i="3"/>
  <c r="D9" i="3"/>
  <c r="D5" i="3"/>
  <c r="D12" i="3"/>
  <c r="D8" i="3"/>
  <c r="D4" i="3"/>
  <c r="D3" i="3"/>
  <c r="C9" i="3"/>
  <c r="C11" i="3"/>
  <c r="C7" i="3"/>
  <c r="C10" i="3"/>
  <c r="C6" i="3"/>
  <c r="C5" i="3"/>
  <c r="C12" i="3"/>
  <c r="C8" i="3"/>
  <c r="C4" i="3"/>
  <c r="C3" i="3"/>
  <c r="D8" i="2"/>
  <c r="D15" i="2"/>
  <c r="D11" i="2"/>
  <c r="D7" i="2"/>
  <c r="D10" i="2"/>
  <c r="D4" i="2"/>
  <c r="D14" i="2"/>
  <c r="D6" i="2"/>
  <c r="D16" i="2"/>
  <c r="D13" i="2"/>
  <c r="D5" i="2"/>
  <c r="D12" i="2"/>
  <c r="D9" i="2"/>
  <c r="D3" i="2"/>
  <c r="A4" i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<sst xmlns="http://schemas.openxmlformats.org/spreadsheetml/2006/main" count="36" uniqueCount="36">
  <si>
    <t>Ficha de Encomenda</t>
  </si>
  <si>
    <t>Produto</t>
  </si>
  <si>
    <t>Quantidade</t>
  </si>
  <si>
    <t>Preço Unitário</t>
  </si>
  <si>
    <t>Valor c/ Desconto</t>
  </si>
  <si>
    <t>Sony CDR 700 MB Spindle, InkJet Printable X40 10 IT Pack</t>
  </si>
  <si>
    <t>Sony DVD R 16x Spindle X20 5 IT Pack</t>
  </si>
  <si>
    <t>Sony DVD R 16x Jewel Case X8 2 IT Pack</t>
  </si>
  <si>
    <t>Sony DVD-R 16x Spindle X40 10 IT Pack</t>
  </si>
  <si>
    <t>Sony CDR 700 MB Slim Case X8 2 IT Pack</t>
  </si>
  <si>
    <t>Sony DVD-R 16x Spindle X80 20 IT Pack</t>
  </si>
  <si>
    <t>Sony DVD R 16x Spindle X80 20 IT Pack</t>
  </si>
  <si>
    <t>Sony DVD-R 16x Jewel Case X8 2 IT Pack</t>
  </si>
  <si>
    <t>Verbatim Dvd-rw (2x) Slim (unid. )</t>
  </si>
  <si>
    <t>Imation Disc Publisher CD/DVDs D20 duplic/impresora 20un</t>
  </si>
  <si>
    <t>Konica Minolta Toner - Preto</t>
  </si>
  <si>
    <t>Konica Minolta Toner 1710591-001 preto</t>
  </si>
  <si>
    <t>HP Q6000A</t>
  </si>
  <si>
    <t>HP Q6001A</t>
  </si>
  <si>
    <t>Miguel Gomes</t>
  </si>
  <si>
    <t>Ana Faria</t>
  </si>
  <si>
    <t>Teresa Camarinha</t>
  </si>
  <si>
    <t>Zita Talaia</t>
  </si>
  <si>
    <t>Victor Mota</t>
  </si>
  <si>
    <t>José Pacheco</t>
  </si>
  <si>
    <t>João Peixoto</t>
  </si>
  <si>
    <t>Angelo Faria</t>
  </si>
  <si>
    <t>Miguel Santos</t>
  </si>
  <si>
    <t>André Areias</t>
  </si>
  <si>
    <t>Antiguidade (dias)</t>
  </si>
  <si>
    <t>Data Inscrição</t>
  </si>
  <si>
    <t>Mês Aniversário</t>
  </si>
  <si>
    <t>Idade (anos)</t>
  </si>
  <si>
    <t>Data Nascimento</t>
  </si>
  <si>
    <t>Nome</t>
  </si>
  <si>
    <t>Lista de Sócios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</si>
</sst>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1" fillId="0" borderId="0" xfId="1"/>
    <xf numFmtId="0" fontId="3" fillId="2" borderId="1" xfId="1" applyFont="1" applyFill="1" applyBorder="1" applyAlignment="1">
      <alignment horizontal="center" vertical="center" wrapText="1"/>
    </xf>
    <xf numFmtId="0" fontId="4" fillId="0" borderId="1" xfId="1" applyFont="1" applyBorder="1"/>
    <xf numFmtId="0" fontId="4" fillId="0" borderId="1" xfId="1" applyFont="1" applyBorder="1" applyAlignment="1">
      <alignment horizontal="center"/>
    </xf>
    <xf numFmtId="164" fontId="4" fillId="0" borderId="1" xfId="1" applyNumberFormat="1" applyFont="1" applyBorder="1"/>
    <xf numFmtId="164" fontId="4" fillId="3" borderId="1" xfId="1" applyNumberFormat="1" applyFont="1" applyFill="1" applyBorder="1"/>
    <xf numFmtId="0" fontId="4" fillId="3" borderId="1" xfId="1" applyFont="1" applyFill="1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1" fontId="4" fillId="3" borderId="2" xfId="1" applyNumberFormat="1" applyFont="1" applyFill="1" applyBorder="1" applyAlignment="1">
      <alignment vertical="center"/>
    </xf>
    <xf numFmtId="0" fontId="4" fillId="3" borderId="2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 wrapText="1"/>
    </xf>
    <xf numFmtId="0" fontId="3" fillId="4" borderId="4" xfId="1" applyFont="1" applyFill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 wrapText="1"/>
    </xf>
    <xf numFmtId="0" fontId="2" fillId="2" borderId="0" xfId="1" applyFont="1" applyFill="1" applyAlignment="1">
      <alignment horizontal="center"/>
    </xf>
    <xf numFmtId="0" fontId="2" fillId="4" borderId="0" xfId="1" applyFont="1" applyFill="1" applyAlignment="1">
      <alignment horizontal="center" vertical="center"/>
    </xf>
  </cellXfs>
  <cellStyles count="2">
    <cellStyle name="Normal" xfId="0" builtinId="0"/>
    <cellStyle name="Normal 2" xfId="1" xr:uid="{FFD5EFBD-3D6C-4F33-AC1E-B430977E578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4"/>
  <sheetViews>
    <sheetView workbookViewId="0">
      <selection activeCell="A5" sqref="A5"/>
    </sheetView>
  </sheetViews>
  <sheetFormatPr defaultRowHeight="14.4" x14ac:dyDescent="0.3"/>
  <sheetData>
    <row r="1" spans="1:1" x14ac:dyDescent="0.3">
      <c r="A1" cm="1">
        <f t="array" ref="A1">QUALTAXA(2,1)</f>
        <v>0.5</v>
      </c>
    </row>
    <row r="4" spans="1:1" x14ac:dyDescent="0.3">
      <c r="A4" cm="1">
        <f t="array" ref="A4">VALORFINAL(5,2)</f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4B5FC-31EA-4872-A6E8-FDAEBC7918E5}">
  <sheetPr codeName="Folha2"/>
  <dimension ref="A1:D16"/>
  <sheetViews>
    <sheetView workbookViewId="0">
      <selection activeCell="D3" sqref="D3:D16"/>
    </sheetView>
  </sheetViews>
  <sheetFormatPr defaultColWidth="7.21875" defaultRowHeight="10.199999999999999" x14ac:dyDescent="0.2"/>
  <cols>
    <col min="1" max="1" width="38.33203125" style="1" bestFit="1" customWidth="1"/>
    <col min="2" max="2" width="8.33203125" style="1" bestFit="1" customWidth="1"/>
    <col min="3" max="3" width="7.21875" style="1"/>
    <col min="4" max="4" width="7.88671875" style="1" customWidth="1"/>
    <col min="5" max="5" width="3.6640625" style="1" customWidth="1"/>
    <col min="6" max="16384" width="7.21875" style="1"/>
  </cols>
  <sheetData>
    <row r="1" spans="1:4" ht="13.8" x14ac:dyDescent="0.3">
      <c r="A1" s="14" t="s">
        <v>0</v>
      </c>
      <c r="B1" s="14"/>
      <c r="C1" s="14"/>
      <c r="D1" s="14"/>
    </row>
    <row r="2" spans="1:4" ht="20.399999999999999" x14ac:dyDescent="0.2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2">
      <c r="A3" s="3" t="s">
        <v>5</v>
      </c>
      <c r="B3" s="4">
        <v>10</v>
      </c>
      <c r="C3" s="5">
        <v>29.35</v>
      </c>
      <c r="D3" s="6" cm="1">
        <f t="array" ref="D3">VALORCOMDESCONTO(B3,C3)</f>
        <v>264.14999389648438</v>
      </c>
    </row>
    <row r="4" spans="1:4" x14ac:dyDescent="0.2">
      <c r="A4" s="3" t="s">
        <v>6</v>
      </c>
      <c r="B4" s="4">
        <v>25</v>
      </c>
      <c r="C4" s="5">
        <v>25.17</v>
      </c>
      <c r="D4" s="6" cm="1">
        <f t="array" ref="D4">VALORCOMDESCONTO(B4,C4)</f>
        <v>566.32501220703125</v>
      </c>
    </row>
    <row r="5" spans="1:4" x14ac:dyDescent="0.2">
      <c r="A5" s="3" t="s">
        <v>7</v>
      </c>
      <c r="B5" s="4">
        <v>12</v>
      </c>
      <c r="C5" s="5">
        <v>34.85</v>
      </c>
      <c r="D5" s="6" cm="1">
        <f t="array" ref="D5">VALORCOMDESCONTO(B5,C5)</f>
        <v>376.37997436523438</v>
      </c>
    </row>
    <row r="6" spans="1:4" x14ac:dyDescent="0.2">
      <c r="A6" s="3" t="s">
        <v>8</v>
      </c>
      <c r="B6" s="4">
        <v>5</v>
      </c>
      <c r="C6" s="5">
        <v>39.380000000000003</v>
      </c>
      <c r="D6" s="6" cm="1">
        <f t="array" ref="D6">VALORCOMDESCONTO(B6,C6)</f>
        <v>187.05500793457031</v>
      </c>
    </row>
    <row r="7" spans="1:4" x14ac:dyDescent="0.2">
      <c r="A7" s="3" t="s">
        <v>9</v>
      </c>
      <c r="B7" s="4">
        <v>25</v>
      </c>
      <c r="C7" s="5">
        <v>21.89</v>
      </c>
      <c r="D7" s="6" cm="1">
        <f t="array" ref="D7">VALORCOMDESCONTO(B7,C7)</f>
        <v>492.52499389648438</v>
      </c>
    </row>
    <row r="8" spans="1:4" x14ac:dyDescent="0.2">
      <c r="A8" s="3" t="s">
        <v>10</v>
      </c>
      <c r="B8" s="4">
        <v>10</v>
      </c>
      <c r="C8" s="5">
        <v>46.43</v>
      </c>
      <c r="D8" s="6" cm="1">
        <f t="array" ref="D8">VALORCOMDESCONTO(B8,C8)</f>
        <v>417.8699951171875</v>
      </c>
    </row>
    <row r="9" spans="1:4" x14ac:dyDescent="0.2">
      <c r="A9" s="3" t="s">
        <v>11</v>
      </c>
      <c r="B9" s="4">
        <v>20</v>
      </c>
      <c r="C9" s="5">
        <v>15.15</v>
      </c>
      <c r="D9" s="6" cm="1">
        <f t="array" ref="D9">VALORCOMDESCONTO(B9,C9)</f>
        <v>272.69998168945313</v>
      </c>
    </row>
    <row r="10" spans="1:4" x14ac:dyDescent="0.2">
      <c r="A10" s="3" t="s">
        <v>12</v>
      </c>
      <c r="B10" s="4">
        <v>10</v>
      </c>
      <c r="C10" s="5">
        <v>34.85</v>
      </c>
      <c r="D10" s="6" cm="1">
        <f t="array" ref="D10">VALORCOMDESCONTO(B10,C10)</f>
        <v>313.64999389648438</v>
      </c>
    </row>
    <row r="11" spans="1:4" x14ac:dyDescent="0.2">
      <c r="A11" s="3" t="s">
        <v>13</v>
      </c>
      <c r="B11" s="4">
        <v>100</v>
      </c>
      <c r="C11" s="5">
        <v>1.18</v>
      </c>
      <c r="D11" s="6" cm="1">
        <f t="array" ref="D11">VALORCOMDESCONTO(B11,C11)</f>
        <v>106.19999694824219</v>
      </c>
    </row>
    <row r="12" spans="1:4" x14ac:dyDescent="0.2">
      <c r="A12" s="3" t="s">
        <v>14</v>
      </c>
      <c r="B12" s="4">
        <v>1</v>
      </c>
      <c r="C12" s="5">
        <v>1176.5899999999999</v>
      </c>
      <c r="D12" s="6" cm="1">
        <f t="array" ref="D12">VALORCOMDESCONTO(B12,C12)</f>
        <v>1117.760498046875</v>
      </c>
    </row>
    <row r="13" spans="1:4" x14ac:dyDescent="0.2">
      <c r="A13" s="3" t="s">
        <v>15</v>
      </c>
      <c r="B13" s="4">
        <v>16</v>
      </c>
      <c r="C13" s="5">
        <v>111.07</v>
      </c>
      <c r="D13" s="6" cm="1">
        <f t="array" ref="D13">VALORCOMDESCONTO(B13,C13)</f>
        <v>1599.407958984375</v>
      </c>
    </row>
    <row r="14" spans="1:4" x14ac:dyDescent="0.2">
      <c r="A14" s="3" t="s">
        <v>16</v>
      </c>
      <c r="B14" s="4">
        <v>1</v>
      </c>
      <c r="C14" s="5">
        <v>472.07</v>
      </c>
      <c r="D14" s="6" cm="1">
        <f t="array" ref="D14">VALORCOMDESCONTO(B14,C14)</f>
        <v>448.46649169921875</v>
      </c>
    </row>
    <row r="15" spans="1:4" x14ac:dyDescent="0.2">
      <c r="A15" s="3" t="s">
        <v>17</v>
      </c>
      <c r="B15" s="4">
        <v>5</v>
      </c>
      <c r="C15" s="5">
        <v>63.62</v>
      </c>
      <c r="D15" s="6" cm="1">
        <f t="array" ref="D15">VALORCOMDESCONTO(B15,C15)</f>
        <v>302.19500732421875</v>
      </c>
    </row>
    <row r="16" spans="1:4" x14ac:dyDescent="0.2">
      <c r="A16" s="3" t="s">
        <v>18</v>
      </c>
      <c r="B16" s="4">
        <v>5</v>
      </c>
      <c r="C16" s="5">
        <v>69.400000000000006</v>
      </c>
      <c r="D16" s="6" cm="1">
        <f t="array" ref="D16">VALORCOMDESCONTO(B16,C16)</f>
        <v>329.64999389648438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CF559-E73F-4A9F-BB94-2FC9849A36BF}">
  <sheetPr codeName="Folha3"/>
  <dimension ref="A1:F12"/>
  <sheetViews>
    <sheetView tabSelected="1" workbookViewId="0">
      <selection activeCell="D3" sqref="D3:D12"/>
    </sheetView>
  </sheetViews>
  <sheetFormatPr defaultRowHeight="10.199999999999999" x14ac:dyDescent="0.2"/>
  <cols>
    <col min="1" max="1" width="12.21875" style="1" bestFit="1" customWidth="1"/>
    <col min="2" max="2" width="8.6640625" style="1" customWidth="1"/>
    <col min="3" max="3" width="8.88671875" style="1"/>
    <col min="4" max="4" width="9.21875" style="1" customWidth="1"/>
    <col min="5" max="5" width="8.5546875" style="1" customWidth="1"/>
    <col min="6" max="6" width="11.109375" style="1" customWidth="1"/>
    <col min="7" max="16384" width="8.88671875" style="1"/>
  </cols>
  <sheetData>
    <row r="1" spans="1:6" ht="13.8" x14ac:dyDescent="0.2">
      <c r="A1" s="15" t="s">
        <v>35</v>
      </c>
      <c r="B1" s="15"/>
      <c r="C1" s="15"/>
      <c r="D1" s="15"/>
      <c r="E1" s="15"/>
      <c r="F1" s="15"/>
    </row>
    <row r="2" spans="1:6" ht="20.399999999999999" x14ac:dyDescent="0.2">
      <c r="A2" s="13" t="s">
        <v>34</v>
      </c>
      <c r="B2" s="12" t="s">
        <v>33</v>
      </c>
      <c r="C2" s="12" t="s">
        <v>32</v>
      </c>
      <c r="D2" s="12" t="s">
        <v>31</v>
      </c>
      <c r="E2" s="12" t="s">
        <v>30</v>
      </c>
      <c r="F2" s="11" t="s">
        <v>29</v>
      </c>
    </row>
    <row r="3" spans="1:6" x14ac:dyDescent="0.2">
      <c r="A3" s="3" t="s">
        <v>28</v>
      </c>
      <c r="B3" s="8">
        <v>21492</v>
      </c>
      <c r="C3" s="9" cm="1">
        <f t="array" ref="C3">IDADE(B3)</f>
        <v>64</v>
      </c>
      <c r="D3" s="9" t="str" cm="1">
        <f t="array" ref="D3">MESANIVERSARIO(B3)</f>
        <v>Novembro</v>
      </c>
      <c r="E3" s="8">
        <v>40050</v>
      </c>
      <c r="F3" s="10"/>
    </row>
    <row r="4" spans="1:6" x14ac:dyDescent="0.2">
      <c r="A4" s="3" t="s">
        <v>27</v>
      </c>
      <c r="B4" s="8">
        <v>31324</v>
      </c>
      <c r="C4" s="9" cm="1">
        <f t="array" ref="C4">IDADE(B4)</f>
        <v>37</v>
      </c>
      <c r="D4" s="9" t="str" cm="1">
        <f t="array" ref="D4">MESANIVERSARIO(B4)</f>
        <v>Outubro</v>
      </c>
      <c r="E4" s="8">
        <v>39105</v>
      </c>
      <c r="F4" s="7"/>
    </row>
    <row r="5" spans="1:6" x14ac:dyDescent="0.2">
      <c r="A5" s="3" t="s">
        <v>26</v>
      </c>
      <c r="B5" s="8">
        <v>21244</v>
      </c>
      <c r="C5" s="9" cm="1">
        <f t="array" ref="C5">IDADE(B5)</f>
        <v>64</v>
      </c>
      <c r="D5" s="9" t="str" cm="1">
        <f t="array" ref="D5">MESANIVERSARIO(B5)</f>
        <v>Fevereiro</v>
      </c>
      <c r="E5" s="8">
        <v>38527</v>
      </c>
      <c r="F5" s="7"/>
    </row>
    <row r="6" spans="1:6" x14ac:dyDescent="0.2">
      <c r="A6" s="3" t="s">
        <v>25</v>
      </c>
      <c r="B6" s="8">
        <v>28151</v>
      </c>
      <c r="C6" s="9" cm="1">
        <f t="array" ref="C6">IDADE(B6)</f>
        <v>45</v>
      </c>
      <c r="D6" s="9" t="str" cm="1">
        <f t="array" ref="D6">MESANIVERSARIO(B6)</f>
        <v>Janeiro</v>
      </c>
      <c r="E6" s="8">
        <v>39300</v>
      </c>
      <c r="F6" s="7"/>
    </row>
    <row r="7" spans="1:6" x14ac:dyDescent="0.2">
      <c r="A7" s="3" t="s">
        <v>24</v>
      </c>
      <c r="B7" s="8">
        <v>36829</v>
      </c>
      <c r="C7" s="9" cm="1">
        <f t="array" ref="C7">IDADE(B7)</f>
        <v>22</v>
      </c>
      <c r="D7" s="9" t="str" cm="1">
        <f t="array" ref="D7">MESANIVERSARIO(B7)</f>
        <v>Outubro</v>
      </c>
      <c r="E7" s="8">
        <v>39129</v>
      </c>
      <c r="F7" s="7"/>
    </row>
    <row r="8" spans="1:6" x14ac:dyDescent="0.2">
      <c r="A8" s="3" t="s">
        <v>23</v>
      </c>
      <c r="B8" s="8">
        <v>31839</v>
      </c>
      <c r="C8" s="9" cm="1">
        <f t="array" ref="C8">IDADE(B8)</f>
        <v>35</v>
      </c>
      <c r="D8" s="9" t="str" cm="1">
        <f t="array" ref="D8">MESANIVERSARIO(B8)</f>
        <v>Março</v>
      </c>
      <c r="E8" s="8">
        <v>39852</v>
      </c>
      <c r="F8" s="7"/>
    </row>
    <row r="9" spans="1:6" x14ac:dyDescent="0.2">
      <c r="A9" s="3" t="s">
        <v>22</v>
      </c>
      <c r="B9" s="8">
        <v>29537</v>
      </c>
      <c r="C9" s="9" cm="1">
        <f t="array" ref="C9">IDADE(B9)</f>
        <v>42</v>
      </c>
      <c r="D9" s="9" t="str" cm="1">
        <f t="array" ref="D9">MESANIVERSARIO(B9)</f>
        <v>Novembro</v>
      </c>
      <c r="E9" s="8">
        <v>39859</v>
      </c>
      <c r="F9" s="7"/>
    </row>
    <row r="10" spans="1:6" x14ac:dyDescent="0.2">
      <c r="A10" s="3" t="s">
        <v>21</v>
      </c>
      <c r="B10" s="8">
        <v>34696</v>
      </c>
      <c r="C10" s="9" cm="1">
        <f t="array" ref="C10">IDADE(B10)</f>
        <v>28</v>
      </c>
      <c r="D10" s="9" t="str" cm="1">
        <f t="array" ref="D10">MESANIVERSARIO(B10)</f>
        <v>Dezembro</v>
      </c>
      <c r="E10" s="8">
        <v>39353</v>
      </c>
      <c r="F10" s="7"/>
    </row>
    <row r="11" spans="1:6" x14ac:dyDescent="0.2">
      <c r="A11" s="3" t="s">
        <v>20</v>
      </c>
      <c r="B11" s="8">
        <v>29313</v>
      </c>
      <c r="C11" s="9" cm="1">
        <f t="array" ref="C11">IDADE(B11)</f>
        <v>42</v>
      </c>
      <c r="D11" s="9" t="str" cm="1">
        <f t="array" ref="D11">MESANIVERSARIO(B11)</f>
        <v>Abril</v>
      </c>
      <c r="E11" s="8">
        <v>39785</v>
      </c>
      <c r="F11" s="7"/>
    </row>
    <row r="12" spans="1:6" x14ac:dyDescent="0.2">
      <c r="A12" s="3" t="s">
        <v>19</v>
      </c>
      <c r="B12" s="8">
        <v>27365</v>
      </c>
      <c r="C12" s="9" cm="1">
        <f t="array" ref="C12">IDADE(B12)</f>
        <v>48</v>
      </c>
      <c r="D12" s="9" t="str" cm="1">
        <f t="array" ref="D12">MESANIVERSARIO(B12)</f>
        <v>Dezembro</v>
      </c>
      <c r="E12" s="8">
        <v>38453</v>
      </c>
      <c r="F12" s="7"/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Exmp01</vt:lpstr>
      <vt:lpstr>Exmp02</vt:lpstr>
      <vt:lpstr>Ex01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Catarina</cp:lastModifiedBy>
  <dcterms:created xsi:type="dcterms:W3CDTF">2015-06-05T18:19:34Z</dcterms:created>
  <dcterms:modified xsi:type="dcterms:W3CDTF">2022-12-02T10:32:36Z</dcterms:modified>
</cp:coreProperties>
</file>